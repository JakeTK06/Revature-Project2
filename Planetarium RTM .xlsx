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C:\Users\EricSuminski\Desktop\241209-JWA\Project 1\"/>
    </mc:Choice>
  </mc:AlternateContent>
  <xr:revisionPtr revIDLastSave="1336" documentId="13_ncr:1_{0D64639A-A73D-426D-A8FF-183510A411CA}" xr6:coauthVersionLast="47" xr6:coauthVersionMax="47" xr10:uidLastSave="{04D19776-AF7F-4A83-BEA1-4311B6AF5D46}"/>
  <bookViews>
    <workbookView xWindow="-120" yWindow="-120" windowWidth="20730" windowHeight="11040" firstSheet="3" activeTab="5" xr2:uid="{F782749A-F44B-4770-ADC0-B107849E38C9}"/>
  </bookViews>
  <sheets>
    <sheet name="User Stories" sheetId="1" r:id="rId1"/>
    <sheet name="Requirments" sheetId="9" r:id="rId2"/>
    <sheet name="Mapping" sheetId="6" r:id="rId3"/>
    <sheet name="Test Data" sheetId="8" r:id="rId4"/>
    <sheet name="Security Requirements" sheetId="2" r:id="rId5"/>
    <sheet name="Acceptance Criteria" sheetId="10" r:id="rId6"/>
    <sheet name="User Requirements" sheetId="3" r:id="rId7"/>
    <sheet name="Planet Requirements" sheetId="4" r:id="rId8"/>
    <sheet name="Moon Requirements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0" l="1" a="1"/>
  <c r="M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<sst xmlns="http://schemas.openxmlformats.org/spreadsheetml/2006/main" count="525" uniqueCount="210">
  <si>
    <t>ID</t>
  </si>
  <si>
    <t>User Story</t>
  </si>
  <si>
    <t>US1</t>
  </si>
  <si>
    <t>As a new user I want to open an account with the Planetarium so I can save my celestial findings</t>
  </si>
  <si>
    <t>US2</t>
  </si>
  <si>
    <t>As a user I want to securely access my account so I can interact with the Planetarium in a secure environment</t>
  </si>
  <si>
    <t>US3</t>
  </si>
  <si>
    <t>As a user I want to see my planets and moons added to the Planetarium so I can track my findings</t>
  </si>
  <si>
    <t>US4</t>
  </si>
  <si>
    <t>As a user I want to add new planets and moons to the Planetarium so I can update my findings</t>
  </si>
  <si>
    <t>US5</t>
  </si>
  <si>
    <t>As a user I want to remove planets and moons from the Planetarium so I can correct my findings</t>
  </si>
  <si>
    <t>Security Requirement</t>
  </si>
  <si>
    <t>User Requirement</t>
  </si>
  <si>
    <t>Planet Requirement</t>
  </si>
  <si>
    <t>Moon Requirement</t>
  </si>
  <si>
    <t>SR1</t>
  </si>
  <si>
    <t>Passwords should never be visible in plain text</t>
  </si>
  <si>
    <t>UR1</t>
  </si>
  <si>
    <t>Users should have unique usernames</t>
  </si>
  <si>
    <t>PR1</t>
  </si>
  <si>
    <t>Planet names should be between 1-30 characters</t>
  </si>
  <si>
    <t>MR1</t>
  </si>
  <si>
    <t>Moon names should be between 1-30 characters</t>
  </si>
  <si>
    <t>SR2</t>
  </si>
  <si>
    <t>Users should only be able to interact with resources they have added to the Planetarium</t>
  </si>
  <si>
    <t>UR2</t>
  </si>
  <si>
    <t>Usernames and passwords should be between 5-30 characters</t>
  </si>
  <si>
    <t>PR2</t>
  </si>
  <si>
    <t>Planet names should support lower case, upper case, numeric characters, white space, underscores, and dashes</t>
  </si>
  <si>
    <t>MR2</t>
  </si>
  <si>
    <t>Moon names should support lower case, upper case, numeric characters, white space, underscores, and dashes</t>
  </si>
  <si>
    <t>SR3</t>
  </si>
  <si>
    <t>Only logged in Users should be able to access the Planetarium home page</t>
  </si>
  <si>
    <t>UR3</t>
  </si>
  <si>
    <t>Usernames and passwords should start with a letter</t>
  </si>
  <si>
    <t>PR3</t>
  </si>
  <si>
    <t>Planets should have unique names</t>
  </si>
  <si>
    <t>MR3</t>
  </si>
  <si>
    <t>Moons should have unique names</t>
  </si>
  <si>
    <t>UR4</t>
  </si>
  <si>
    <t>Usernames should support lower case, upper case, numeric characters, underscores, and dashes</t>
  </si>
  <si>
    <t>PR4</t>
  </si>
  <si>
    <t>Planets should be “owned” by the user that added it to the Planetarium</t>
  </si>
  <si>
    <t>MR4</t>
  </si>
  <si>
    <t>Moons should be “owned” by the Planet the User adding the moon associated it with</t>
  </si>
  <si>
    <t>UR5</t>
  </si>
  <si>
    <t>Passwords should contain a lower case, upper case, and numeric character</t>
  </si>
  <si>
    <t>PR5</t>
  </si>
  <si>
    <t>Planets should allow adding an associated image, but an image should not be required for the data to be added to the database</t>
  </si>
  <si>
    <t>MR5</t>
  </si>
  <si>
    <t>Moons should be deleted if their "owner" planet is deleted from the database</t>
  </si>
  <si>
    <t>UR6</t>
  </si>
  <si>
    <t>Passwords should support underscores and dashes</t>
  </si>
  <si>
    <t>PR6</t>
  </si>
  <si>
    <t>JPEG &amp; PNG should be supported</t>
  </si>
  <si>
    <t>MR6</t>
  </si>
  <si>
    <t>Moons should allow adding an associated image, but an image should not be required for the data to be added to the database</t>
  </si>
  <si>
    <t>MR7</t>
  </si>
  <si>
    <t>Requirement</t>
  </si>
  <si>
    <t>Positive Test data</t>
  </si>
  <si>
    <t>Positive Test Data</t>
  </si>
  <si>
    <t>Valid Username</t>
  </si>
  <si>
    <t>User</t>
  </si>
  <si>
    <t>Planet Owned</t>
  </si>
  <si>
    <t>Valid Planet Name</t>
  </si>
  <si>
    <t xml:space="preserve">Owner </t>
  </si>
  <si>
    <t>Owner</t>
  </si>
  <si>
    <t>VU1</t>
  </si>
  <si>
    <t>MasterChief</t>
  </si>
  <si>
    <t>Batman</t>
  </si>
  <si>
    <t>VD1</t>
  </si>
  <si>
    <t>Earth</t>
  </si>
  <si>
    <t>VP1</t>
  </si>
  <si>
    <t>Valid Password</t>
  </si>
  <si>
    <t>Negative Test Data</t>
  </si>
  <si>
    <t>Valid Moon Name</t>
  </si>
  <si>
    <t>Pi11arOfAutum</t>
  </si>
  <si>
    <t>Iamthenight1939</t>
  </si>
  <si>
    <t>VM1</t>
  </si>
  <si>
    <t>Moon</t>
  </si>
  <si>
    <t>ID1</t>
  </si>
  <si>
    <t>manBat</t>
  </si>
  <si>
    <t>Jupiter</t>
  </si>
  <si>
    <t>Invalid Username</t>
  </si>
  <si>
    <t>Requirement Broken</t>
  </si>
  <si>
    <t>id</t>
  </si>
  <si>
    <t>invalid username</t>
  </si>
  <si>
    <t>requirement broken</t>
  </si>
  <si>
    <t>ID2</t>
  </si>
  <si>
    <t>SaulManGood</t>
  </si>
  <si>
    <t>Venus,Earth</t>
  </si>
  <si>
    <t>Planet Name</t>
  </si>
  <si>
    <t>Requirement Nroken</t>
  </si>
  <si>
    <t>IU1</t>
  </si>
  <si>
    <t>Manbat</t>
  </si>
  <si>
    <t>Decision Table</t>
  </si>
  <si>
    <t>IP1</t>
  </si>
  <si>
    <t>lentokonesuihkuturbiinimoottoriapumekaanikkoaliupseerioppilas</t>
  </si>
  <si>
    <t>Saul Goodman</t>
  </si>
  <si>
    <t>PR1 PR4</t>
  </si>
  <si>
    <t>IU2</t>
  </si>
  <si>
    <t>Llanfairpwllgwyngyllgogerychwyrndrobwllllantysiliogogogoch</t>
  </si>
  <si>
    <t>invalid password</t>
  </si>
  <si>
    <t>Data</t>
  </si>
  <si>
    <t>Result</t>
  </si>
  <si>
    <t>IP2</t>
  </si>
  <si>
    <t>::Broken planet Name[]</t>
  </si>
  <si>
    <t>IU3</t>
  </si>
  <si>
    <t>1eet</t>
  </si>
  <si>
    <t>Iamnottheknight</t>
  </si>
  <si>
    <t>Owned Planets appear in table</t>
  </si>
  <si>
    <t>IP3</t>
  </si>
  <si>
    <t>IU4</t>
  </si>
  <si>
    <t>;Manspider;</t>
  </si>
  <si>
    <t>UR3 UR4</t>
  </si>
  <si>
    <t>Planet Table shows error</t>
  </si>
  <si>
    <t>Moon Name</t>
  </si>
  <si>
    <t>Invalid Password</t>
  </si>
  <si>
    <t>Username</t>
  </si>
  <si>
    <t>Password</t>
  </si>
  <si>
    <t>Expected Result</t>
  </si>
  <si>
    <t>Id2</t>
  </si>
  <si>
    <t>IM1</t>
  </si>
  <si>
    <t>?NOM</t>
  </si>
  <si>
    <t>UR2 UR3 UR5</t>
  </si>
  <si>
    <t>login success</t>
  </si>
  <si>
    <t>IM3</t>
  </si>
  <si>
    <t>::bad name</t>
  </si>
  <si>
    <t>IM2</t>
  </si>
  <si>
    <t>password</t>
  </si>
  <si>
    <t>Invalid Credentials alert</t>
  </si>
  <si>
    <t>3at</t>
  </si>
  <si>
    <t>UR3 UR5</t>
  </si>
  <si>
    <t>IP4</t>
  </si>
  <si>
    <t>2catman:john</t>
  </si>
  <si>
    <t>UR2 UR5</t>
  </si>
  <si>
    <t>Planet Created Refresh Table</t>
  </si>
  <si>
    <t>Planet Deleted Refresh Table</t>
  </si>
  <si>
    <t>user state</t>
  </si>
  <si>
    <t>expected result</t>
  </si>
  <si>
    <t>Moon CreatedRefresh Table</t>
  </si>
  <si>
    <t>Moon Delteted Refresh Table</t>
  </si>
  <si>
    <t>logged in</t>
  </si>
  <si>
    <t>can access home page directly</t>
  </si>
  <si>
    <t>Invalid Planet Name Error</t>
  </si>
  <si>
    <t>Account Created successfully alert</t>
  </si>
  <si>
    <t>logged out</t>
  </si>
  <si>
    <t>can not access home page directly</t>
  </si>
  <si>
    <t>VU2</t>
  </si>
  <si>
    <t>Invalid Password Alert</t>
  </si>
  <si>
    <t>Invalid Moon Name Error</t>
  </si>
  <si>
    <t>VU3</t>
  </si>
  <si>
    <t>VU4</t>
  </si>
  <si>
    <t>VU5</t>
  </si>
  <si>
    <t>Invalid Username Alert</t>
  </si>
  <si>
    <t>Acceptance Type</t>
  </si>
  <si>
    <t>Steps</t>
  </si>
  <si>
    <t>Positive</t>
  </si>
  <si>
    <r>
      <rPr>
        <b/>
        <sz val="11"/>
        <color theme="1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is on the login page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</si>
  <si>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is on the login page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</si>
  <si>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 xml:space="preserve"> the user is on the home page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</si>
  <si>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clicks the delete planet button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</si>
  <si>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clicks the register link</t>
    </r>
  </si>
  <si>
    <r>
      <rPr>
        <b/>
        <sz val="11"/>
        <color rgb="FF000000"/>
        <rFont val="Aptos Narrow"/>
        <scheme val="minor"/>
      </rPr>
      <t xml:space="preserve">When </t>
    </r>
    <r>
      <rPr>
        <sz val="11"/>
        <color rgb="FF000000"/>
        <rFont val="Aptos Narrow"/>
        <scheme val="minor"/>
      </rPr>
      <t>the user provides a valid user name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</si>
  <si>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only planets displayed are the planets owned by the logged in user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</si>
  <si>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enters a valid planet name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</si>
  <si>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enters valid planet data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</si>
  <si>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provides a valid username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</si>
  <si>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 xml:space="preserve"> the user provides a valid password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</si>
  <si>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moons are all owned by valid planets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</si>
  <si>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the planet table is updated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</si>
  <si>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the planet is deleted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</si>
  <si>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provides a valid password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</si>
  <si>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 xml:space="preserve"> login success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</si>
  <si>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the homepage table is valid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</si>
  <si>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clicks the add moon button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</si>
  <si>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moons owned by the planet are deleted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</si>
  <si>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submits the credentials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</si>
  <si>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is redirected to the home page</t>
    </r>
  </si>
  <si>
    <t>Negative</t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</si>
  <si>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is on then home page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</si>
  <si>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enters a valid moon name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</si>
  <si>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planet table is refreshed</t>
    </r>
  </si>
  <si>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user should get a browser alert saying "Account created successfully"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</si>
  <si>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planets shown are not the planet owned by the logged in user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</si>
  <si>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moon has a valid planet owner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</si>
  <si>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clicks the delete moon button</t>
    </r>
  </si>
  <si>
    <r>
      <rPr>
        <b/>
        <sz val="11"/>
        <color theme="1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user should be redirected to the login page</t>
    </r>
  </si>
  <si>
    <r>
      <rPr>
        <b/>
        <sz val="11"/>
        <color rgb="FF000000"/>
        <rFont val="Aptos Narrow"/>
        <scheme val="minor"/>
      </rPr>
      <t xml:space="preserve">When </t>
    </r>
    <r>
      <rPr>
        <sz val="11"/>
        <color rgb="FF000000"/>
        <rFont val="Aptos Narrow"/>
        <scheme val="minor"/>
      </rPr>
      <t>the user provides username "&lt;username&gt;"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</si>
  <si>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moons are not owned by valid planets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</si>
  <si>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enters valid moon data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</si>
  <si>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provides password "&lt;password&gt;"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</si>
  <si>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the home page is not valid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</si>
  <si>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clicks the add planet button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</si>
  <si>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the moon is deleted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</si>
  <si>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browser alert login failed invalid credentials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</si>
  <si>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gives the name "&lt;Planet name&gt;"</t>
    </r>
  </si>
  <si>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provides username </t>
    </r>
    <r>
      <rPr>
        <b/>
        <sz val="11"/>
        <color theme="1"/>
        <rFont val="Aptos Narrow"/>
        <family val="2"/>
        <scheme val="minor"/>
      </rPr>
      <t>"&lt;username input&gt;"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</si>
  <si>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browser gives invalid planet name error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</si>
  <si>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provides password </t>
    </r>
    <r>
      <rPr>
        <b/>
        <sz val="11"/>
        <color theme="1"/>
        <rFont val="Aptos Narrow"/>
        <family val="2"/>
        <scheme val="minor"/>
      </rPr>
      <t>"&lt;password&gt;"</t>
    </r>
  </si>
  <si>
    <r>
      <rPr>
        <b/>
        <sz val="11"/>
        <color rgb="FF000000"/>
        <rFont val="Aptos Narrow"/>
        <scheme val="minor"/>
      </rPr>
      <t xml:space="preserve">Given </t>
    </r>
    <r>
      <rPr>
        <sz val="11"/>
        <color rgb="FF000000"/>
        <rFont val="Aptos Narrow"/>
        <scheme val="minor"/>
      </rPr>
      <t>the user clickes the add moon button</t>
    </r>
  </si>
  <si>
    <r>
      <rPr>
        <b/>
        <sz val="11"/>
        <color rgb="FF000000"/>
        <rFont val="Aptos Narrow"/>
        <scheme val="minor"/>
      </rPr>
      <t>And</t>
    </r>
    <r>
      <rPr>
        <sz val="11"/>
        <color rgb="FF000000"/>
        <rFont val="Aptos Narrow"/>
        <scheme val="minor"/>
      </rPr>
      <t xml:space="preserve"> the user enters planet name "&lt;Planet Name&gt;"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</si>
  <si>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enters moon name "&lt;Moon name&gt;"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</si>
  <si>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browser gives invalid planet error</t>
    </r>
  </si>
  <si>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user should get a browser alert saying </t>
    </r>
    <r>
      <rPr>
        <b/>
        <sz val="11"/>
        <color theme="1"/>
        <rFont val="Aptos Narrow"/>
        <family val="2"/>
        <scheme val="minor"/>
      </rPr>
      <t>"&lt;alert&gt;"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</si>
  <si>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the browers gives the invalid moon name error</t>
    </r>
  </si>
  <si>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user should stay on the registration page</t>
    </r>
  </si>
  <si>
    <r>
      <rPr>
        <b/>
        <sz val="11"/>
        <color rgb="FF000000"/>
        <rFont val="Aptos Narrow"/>
        <scheme val="minor"/>
      </rPr>
      <t xml:space="preserve">And </t>
    </r>
    <r>
      <rPr>
        <sz val="11"/>
        <color rgb="FF000000"/>
        <rFont val="Aptos Narrow"/>
        <scheme val="minor"/>
      </rPr>
      <t>the user enters the moon name "&lt;Moon Name&gt;"</t>
    </r>
  </si>
  <si>
    <r>
      <rPr>
        <b/>
        <sz val="11"/>
        <color rgb="FF000000"/>
        <rFont val="Aptos Narrow"/>
        <scheme val="minor"/>
      </rPr>
      <t xml:space="preserve">Then </t>
    </r>
    <r>
      <rPr>
        <sz val="11"/>
        <color rgb="FF000000"/>
        <rFont val="Aptos Narrow"/>
        <scheme val="minor"/>
      </rPr>
      <t>browser gives invalid Moon error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</si>
</sst>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theme="0"/>
      <name val="Aptos Narrow"/>
      <scheme val="minor"/>
    </font>
    <font>
      <sz val="11"/>
      <color rgb="FF000000"/>
      <name val="Aptos Narrow"/>
      <charset val="1"/>
    </font>
    <font>
      <b/>
      <sz val="11"/>
      <color rgb="FFFFFFFF"/>
      <name val="Aptos Narrow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6" fillId="8" borderId="0" xfId="0" applyFont="1" applyFill="1"/>
    <xf numFmtId="0" fontId="0" fillId="0" borderId="3" xfId="0" applyBorder="1"/>
    <xf numFmtId="0" fontId="0" fillId="4" borderId="0" xfId="0" applyFill="1"/>
    <xf numFmtId="0" fontId="7" fillId="8" borderId="0" xfId="0" applyFont="1" applyFill="1"/>
    <xf numFmtId="0" fontId="0" fillId="0" borderId="1" xfId="0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8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4" fillId="8" borderId="0" xfId="0" applyFont="1" applyFill="1"/>
    <xf numFmtId="0" fontId="0" fillId="0" borderId="2" xfId="0" applyBorder="1"/>
    <xf numFmtId="0" fontId="0" fillId="0" borderId="0" xfId="0" applyAlignment="1">
      <alignment horizontal="left" vertical="center"/>
    </xf>
    <xf numFmtId="0" fontId="6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6" fillId="6" borderId="0" xfId="0" applyFont="1" applyFill="1"/>
    <xf numFmtId="0" fontId="0" fillId="0" borderId="6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0" xfId="0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8" borderId="0" xfId="0" applyFont="1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9" fillId="6" borderId="0" xfId="0" applyFont="1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6" fillId="5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9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8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/>
        </patternFill>
      </fill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1" indent="0" justifyLastLine="0" shrinkToFit="0" readingOrder="0"/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8" tint="-0.249977111117893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5172B-577E-4D84-AF49-87F5C4778595}" name="Table1" displayName="Table1" ref="A1:B6" totalsRowShown="0" headerRowDxfId="98" dataDxfId="97">
  <autoFilter ref="A1:B6" xr:uid="{7A75172B-577E-4D84-AF49-87F5C4778595}"/>
  <tableColumns count="2">
    <tableColumn id="1" xr3:uid="{FED0608C-55BC-4321-8720-E641D878198E}" name="ID" dataDxfId="96"/>
    <tableColumn id="2" xr3:uid="{5B7B44D4-81F7-4CA6-98CC-2C160723D4F2}" name="User Story" dataDxfId="9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BA645B-A450-4E8E-9803-476E4533F040}" name="Table210" displayName="Table210" ref="A1:B4" totalsRowShown="0" headerRowDxfId="94" dataDxfId="93">
  <autoFilter ref="A1:B4" xr:uid="{67BA645B-A450-4E8E-9803-476E4533F040}"/>
  <tableColumns count="2">
    <tableColumn id="1" xr3:uid="{6C038D3A-2242-4CC9-93DF-8E90251ADDD3}" name="ID" dataDxfId="92"/>
    <tableColumn id="2" xr3:uid="{6DDCEEB2-A81C-4F9A-A062-7ACD73F964DA}" name="Security Requirement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25319B-A390-4F6B-AFF5-DC613294A861}" name="Table312" displayName="Table312" ref="C1:D7" totalsRowShown="0" headerRowDxfId="90" dataDxfId="89">
  <autoFilter ref="C1:D7" xr:uid="{5325319B-A390-4F6B-AFF5-DC613294A861}"/>
  <tableColumns count="2">
    <tableColumn id="1" xr3:uid="{E11CC177-3712-4F0D-9A01-D14DF4B0AFD0}" name="ID" dataDxfId="88"/>
    <tableColumn id="2" xr3:uid="{7FADD2D3-D510-4B81-A989-A272CFF402BA}" name="User Requirement" dataDxfId="8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5E4F6A-9549-43CF-9C1C-727038A36148}" name="Table413" displayName="Table413" ref="E1:F7" totalsRowShown="0" headerRowDxfId="86" dataDxfId="85">
  <autoFilter ref="E1:F7" xr:uid="{FB5E4F6A-9549-43CF-9C1C-727038A36148}"/>
  <tableColumns count="2">
    <tableColumn id="1" xr3:uid="{2C4036E5-BB66-4546-AEA8-51BAC73BC7E3}" name="ID" dataDxfId="84"/>
    <tableColumn id="2" xr3:uid="{F263498B-1026-495B-9C1F-6F4C388B4706}" name="Planet Requirement" dataDxfId="8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61D77A2-2A1D-4AF8-8204-06DEC202A41F}" name="Table514" displayName="Table514" ref="G1:H8" totalsRowShown="0" headerRowDxfId="82" dataDxfId="81">
  <autoFilter ref="G1:H8" xr:uid="{761D77A2-2A1D-4AF8-8204-06DEC202A41F}"/>
  <tableColumns count="2">
    <tableColumn id="1" xr3:uid="{F34C86E8-A1CB-4ACF-993F-F5D176298170}" name="ID" dataDxfId="80"/>
    <tableColumn id="2" xr3:uid="{3E5A5762-8867-43E1-B677-2BF066A84427}" name="Moon Requirement" dataDxfId="79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7A2EF1-1E3B-497A-963A-1E4B297B1AD8}" name="Table6" displayName="Table6" ref="A1:B23" totalsRowShown="0" headerRowDxfId="78">
  <autoFilter ref="A1:B23" xr:uid="{8C7A2EF1-1E3B-497A-963A-1E4B297B1AD8}">
    <filterColumn colId="0">
      <filters>
        <filter val="US1"/>
      </filters>
    </filterColumn>
  </autoFilter>
  <tableColumns count="2">
    <tableColumn id="1" xr3:uid="{3E1D6F9B-CF49-4C23-A4F1-14FC88593279}" name="User Story"/>
    <tableColumn id="2" xr3:uid="{0AE99736-D95C-4721-996D-FB61185AF45C}" name="Requirement"/>
  </tableColumns>
  <tableStyleInfo name="TableStyleDark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1B126B1-41CD-43F9-9A3E-0E493557AF8B}" name="Table22" displayName="Table22" ref="A19:C28" totalsRowShown="0" headerRowDxfId="77" dataDxfId="76" tableBorderDxfId="75">
  <autoFilter ref="A19:C28" xr:uid="{B1B126B1-41CD-43F9-9A3E-0E493557AF8B}"/>
  <tableColumns count="3">
    <tableColumn id="1" xr3:uid="{9434BECC-08DC-41F8-8DFD-B6EDF78244C0}" name="Username" dataDxfId="74"/>
    <tableColumn id="2" xr3:uid="{C5D5421E-2CD1-48D3-B396-DEC9EB03AC12}" name="Password" dataDxfId="73"/>
    <tableColumn id="3" xr3:uid="{95C7A022-97DA-43B4-B71E-18404ECCCA81}" name="Expected Result" dataDxfId="72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36F186-C74F-4892-82B5-F21A401ECF5E}" name="Table25" displayName="Table25" ref="A13:C17" totalsRowShown="0" headerRowDxfId="71" dataDxfId="70" tableBorderDxfId="69">
  <autoFilter ref="A13:C17" xr:uid="{E636F186-C74F-4892-82B5-F21A401ECF5E}"/>
  <tableColumns count="3">
    <tableColumn id="1" xr3:uid="{81AD6D93-03E6-4199-B93A-07535A708517}" name="ID" dataDxfId="68"/>
    <tableColumn id="2" xr3:uid="{E9129DF5-459B-440C-858E-440C189CCA19}" name="Invalid Password" dataDxfId="67"/>
    <tableColumn id="3" xr3:uid="{8BE90DFB-5E04-4281-A3D5-D095E34B37E1}" name="Requirement Broken" dataDxfId="66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91A7CA2-3731-4F33-BD37-3ABFE54FE05A}" name="Table26" displayName="Table26" ref="A8:C12" totalsRowShown="0" headerRowDxfId="65" dataDxfId="64" tableBorderDxfId="63">
  <autoFilter ref="A8:C12" xr:uid="{791A7CA2-3731-4F33-BD37-3ABFE54FE05A}"/>
  <tableColumns count="3">
    <tableColumn id="1" xr3:uid="{E65D851D-CF07-4F70-ABCC-FE893D60785B}" name="ID" dataDxfId="62"/>
    <tableColumn id="2" xr3:uid="{D5C38558-2146-492F-8BBF-6C7EC5D12188}" name="Invalid Username" dataDxfId="61"/>
    <tableColumn id="3" xr3:uid="{8A403C0F-C382-4288-8F64-B78A2D4BDBD2}" name="Requirement Broken" dataDxfId="60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263A87F-EAA5-41FF-A805-513395D57224}" name="Table27" displayName="Table27" ref="A3:B6" totalsRowShown="0" headerRowDxfId="59" tableBorderDxfId="58">
  <autoFilter ref="A3:B6" xr:uid="{6263A87F-EAA5-41FF-A805-513395D57224}"/>
  <tableColumns count="2">
    <tableColumn id="1" xr3:uid="{9EC72739-E719-4E57-9FDD-FFB2113F8697}" name="ID"/>
    <tableColumn id="2" xr3:uid="{7FF5CFC2-DB29-4D9A-A92B-C6518ECD0D2C}" name="Valid Username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A47B9AC-74A5-4452-9675-3C3CB98522D9}" name="Table30" displayName="Table30" ref="D18:E20" totalsRowShown="0" headerRowDxfId="57" dataDxfId="56">
  <autoFilter ref="D18:E20" xr:uid="{DA47B9AC-74A5-4452-9675-3C3CB98522D9}"/>
  <tableColumns count="2">
    <tableColumn id="1" xr3:uid="{022D6380-FF74-44B8-A01F-33D056D172AF}" name="user state" dataDxfId="55"/>
    <tableColumn id="2" xr3:uid="{F03DD695-B646-4E0F-BDBF-BFF6BEF5F07F}" name="expected result" dataDxfId="54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D09CFFB-7D8A-4BCC-B29E-95B677ED2ADD}" name="Table31" displayName="Table31" ref="D13:F17" totalsRowShown="0" headerRowDxfId="53" dataDxfId="52">
  <autoFilter ref="D13:F17" xr:uid="{DD09CFFB-7D8A-4BCC-B29E-95B677ED2ADD}"/>
  <tableColumns count="3">
    <tableColumn id="1" xr3:uid="{3C41BD31-87C7-4051-8EDC-E04539333366}" name="Username" dataDxfId="51"/>
    <tableColumn id="2" xr3:uid="{B9E9FF6E-F1D4-4568-8E7B-963DEDF02C91}" name="Password" dataDxfId="50"/>
    <tableColumn id="3" xr3:uid="{08A8C93D-F27E-42A4-88DF-BF31A8C91F4C}" name="Expected Result" dataDxfId="49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8241FD7-51A8-4E27-9C11-C84B7F454076}" name="Table32" displayName="Table32" ref="D10:F11" totalsRowShown="0" headerRowDxfId="48" dataDxfId="47">
  <autoFilter ref="D10:F11" xr:uid="{A8241FD7-51A8-4E27-9C11-C84B7F454076}"/>
  <tableColumns count="3">
    <tableColumn id="1" xr3:uid="{5AB72CEE-E5A0-401D-8A8D-F0AF666BEABD}" name="id" dataDxfId="46"/>
    <tableColumn id="2" xr3:uid="{B8F19857-1C04-413F-A0DC-8FF1A934A069}" name="invalid password" dataDxfId="45"/>
    <tableColumn id="3" xr3:uid="{AB9C59A5-2FA8-426B-96CB-6453B9A59A2A}" name="requirement broken" dataDxfId="44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290BF2F-C650-4A7F-A28F-88074590817F}" name="Table33" displayName="Table33" ref="D8:F9" totalsRowShown="0" headerRowDxfId="43" dataDxfId="42">
  <autoFilter ref="D8:F9" xr:uid="{1290BF2F-C650-4A7F-A28F-88074590817F}"/>
  <tableColumns count="3">
    <tableColumn id="1" xr3:uid="{1057C943-7F0B-4B2A-BA6F-9EDBD699C843}" name="id" dataDxfId="41"/>
    <tableColumn id="2" xr3:uid="{49D14469-1C9A-4E5E-AACA-A8603989B6DE}" name="invalid username" dataDxfId="40"/>
    <tableColumn id="3" xr3:uid="{14D560E8-53BA-4615-AEE9-7B23841F5E15}" name="requirement broken" dataDxfId="39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6E994BE-60C5-4015-9F41-EA514CFB4F33}" name="Table34" displayName="Table34" ref="D3:E6" totalsRowShown="0" headerRowDxfId="38" tableBorderDxfId="37">
  <autoFilter ref="D3:E6" xr:uid="{F6E994BE-60C5-4015-9F41-EA514CFB4F33}"/>
  <tableColumns count="2">
    <tableColumn id="1" xr3:uid="{38535019-3E9D-4817-8302-DA4DF67EA9E2}" name="ID"/>
    <tableColumn id="2" xr3:uid="{4BD90900-CC9B-456C-9470-6251AD7BF87C}" name="Valid Username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3B56620-0083-47D7-B5E0-1F97B23692BA}" name="Table35" displayName="Table35" ref="J3:L6" totalsRowShown="0" headerRowDxfId="36" tableBorderDxfId="35">
  <autoFilter ref="J3:L6" xr:uid="{93B56620-0083-47D7-B5E0-1F97B23692BA}"/>
  <tableColumns count="3">
    <tableColumn id="1" xr3:uid="{E50F7013-E743-4083-B293-EF41F57C8BBB}" name="ID"/>
    <tableColumn id="2" xr3:uid="{A571F219-565F-41A2-B07B-10CF3047D8C0}" name="Valid Planet Name"/>
    <tableColumn id="3" xr3:uid="{90A7D5FE-A734-493C-BADE-9C458165FFA7}" name="Owner 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EC66DE9-C6F7-4783-8B4C-BC6EABF38E25}" name="Table36" displayName="Table36" ref="J8:M11" totalsRowShown="0" headerRowDxfId="34" tableBorderDxfId="33">
  <autoFilter ref="J8:M11" xr:uid="{3EC66DE9-C6F7-4783-8B4C-BC6EABF38E25}"/>
  <tableColumns count="4">
    <tableColumn id="1" xr3:uid="{2FEE9E2A-9C3D-4E43-A1BA-FD2DF97EA0F2}" name="ID" dataDxfId="32"/>
    <tableColumn id="2" xr3:uid="{50D580F5-3917-4D04-AAC4-AD7F73C62B76}" name="Planet Name"/>
    <tableColumn id="3" xr3:uid="{87E58213-43F1-4D3B-9668-587A326A28AF}" name="Owner "/>
    <tableColumn id="4" xr3:uid="{005C0CFF-DDFD-470D-8A08-D95E1A60E395}" name="Requirement Broken" dataDxfId="31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1D64594-4287-431C-9751-A404E27E1E8D}" name="Table37" displayName="Table37" ref="J16:L22" totalsRowShown="0" headerRowDxfId="30" tableBorderDxfId="29">
  <autoFilter ref="J16:L22" xr:uid="{51D64594-4287-431C-9751-A404E27E1E8D}"/>
  <tableColumns count="3">
    <tableColumn id="1" xr3:uid="{74E53A4D-F859-4707-9FF3-D16E64D43FE0}" name="ID"/>
    <tableColumn id="2" xr3:uid="{FEA59AE5-D693-4158-8DAA-8E7A7099166A}" name="Owner "/>
    <tableColumn id="3" xr3:uid="{78FC6149-F623-486E-B6AC-090FA2F21AC2}" name="Expected Result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7EEC770-15D2-4E5A-9E61-FA31EDCC7CC6}" name="Table38" displayName="Table38" ref="N3:P6" totalsRowShown="0" headerRowDxfId="28" tableBorderDxfId="27">
  <autoFilter ref="N3:P6" xr:uid="{97EEC770-15D2-4E5A-9E61-FA31EDCC7CC6}"/>
  <tableColumns count="3">
    <tableColumn id="1" xr3:uid="{C3C8C05E-3E2F-4268-B36B-B844DDA4F2D2}" name="ID"/>
    <tableColumn id="2" xr3:uid="{9EA7ECCB-2CC1-4BF3-8617-9A41EFDCCCA4}" name="Valid Planet Name"/>
    <tableColumn id="3" xr3:uid="{8BDAE140-8AF7-41F6-8267-B7B9B452CE02}" name="Owner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5FCFC2D-F6B8-4365-B9C2-27F2D8016B61}" name="Table39" displayName="Table39" ref="N8:Q11" totalsRowShown="0" headerRowDxfId="26">
  <autoFilter ref="N8:Q11" xr:uid="{55FCFC2D-F6B8-4365-B9C2-27F2D8016B61}"/>
  <tableColumns count="4">
    <tableColumn id="1" xr3:uid="{B89544D8-ABF8-4145-B8C7-2D32F104C360}" name="ID" dataDxfId="25"/>
    <tableColumn id="2" xr3:uid="{65EA16B9-9CEA-4FA7-AA30-9943B5204F4D}" name="Planet Name"/>
    <tableColumn id="3" xr3:uid="{09079BE8-52BC-4AF9-BF37-F895068C93D2}" name="Owner"/>
    <tableColumn id="4" xr3:uid="{6CFB5B2C-853C-471D-943F-C1F6A06CC9CE}" name="Requirement Nroken" dataDxfId="24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7009AFA-ACBB-41BB-BF9B-AE5F510BE724}" name="Table40" displayName="Table40" ref="N12:Q15" totalsRowShown="0" tableBorderDxfId="23">
  <autoFilter ref="N12:Q15" xr:uid="{27009AFA-ACBB-41BB-BF9B-AE5F510BE724}"/>
  <tableColumns count="4">
    <tableColumn id="1" xr3:uid="{C5D739F2-33F0-47B9-AC7C-85A07AFA28AC}" name="ID" dataDxfId="22"/>
    <tableColumn id="2" xr3:uid="{7A19FF6E-1959-477A-BDD1-EE8F1165F0AC}" name="Moon Name"/>
    <tableColumn id="3" xr3:uid="{C532D56F-93E6-444C-9DC5-DC7CB62FA5EF}" name="Owner "/>
    <tableColumn id="4" xr3:uid="{2601FA6A-62E1-4513-8C33-2056D737290B}" name="Requirement Broken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0E96D07-52EC-4E26-BE85-5B7DF6D6BF6B}" name="Table41" displayName="Table41" ref="N16:P22" totalsRowShown="0" headerRowDxfId="21" tableBorderDxfId="20">
  <autoFilter ref="N16:P22" xr:uid="{E0E96D07-52EC-4E26-BE85-5B7DF6D6BF6B}"/>
  <tableColumns count="3">
    <tableColumn id="1" xr3:uid="{4D468FAC-DD87-487E-986E-82746AEF7AB4}" name="ID"/>
    <tableColumn id="2" xr3:uid="{EE9C0EB1-21FE-46BD-8A66-6281C85F0EFA}" name="Owner "/>
    <tableColumn id="3" xr3:uid="{CABA8EE5-4340-4ED3-B840-9A902793C122}" name="Expected Result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E68920-FF84-4499-A73D-9D61131B2E73}" name="Table10" displayName="Table10" ref="G3:I4" totalsRowShown="0" headerRowDxfId="19" tableBorderDxfId="18">
  <autoFilter ref="G3:I4" xr:uid="{A2E68920-FF84-4499-A73D-9D61131B2E73}"/>
  <tableColumns count="3">
    <tableColumn id="1" xr3:uid="{804B5343-1FA0-4023-B978-EA0194614086}" name="ID"/>
    <tableColumn id="2" xr3:uid="{52D129AC-E8CE-418B-B7B2-8D47776B7B6A}" name="User"/>
    <tableColumn id="3" xr3:uid="{390C9BF3-5EBF-4B08-880D-07C487AE510B}" name="Planet Owned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D38FB6-408E-479D-B131-04F4B35A2A45}" name="Table14" displayName="Table14" ref="G6:I8" totalsRowShown="0" headerRowDxfId="17">
  <autoFilter ref="G6:I8" xr:uid="{52D38FB6-408E-479D-B131-04F4B35A2A45}"/>
  <tableColumns count="3">
    <tableColumn id="1" xr3:uid="{5C895C17-CBB7-41FD-BE65-53CEEFBC001E}" name="ID"/>
    <tableColumn id="2" xr3:uid="{A307C584-3D69-427E-B827-23F96C1326B2}" name="User"/>
    <tableColumn id="3" xr3:uid="{ACEF2825-1070-4DD2-AB10-5171FEFA9A8D}" name="Planet Owned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938924-1F6F-4495-9FDD-C308B84EFDDE}" name="Table15" displayName="Table15" ref="G10:H13" totalsRowShown="0" headerRowDxfId="16">
  <autoFilter ref="G10:H13" xr:uid="{30938924-1F6F-4495-9FDD-C308B84EFDDE}"/>
  <tableColumns count="2">
    <tableColumn id="1" xr3:uid="{A9344EDB-171C-4DE5-AC93-CF4188378A48}" name="Data"/>
    <tableColumn id="2" xr3:uid="{42CD1768-405C-466F-8393-A240833B6EC6}" name="Result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32EC7D-69C5-4A93-8A2D-DC6765B2E759}" name="Table2" displayName="Table2" ref="A1:B4" totalsRowShown="0" headerRowDxfId="15" dataDxfId="14">
  <autoFilter ref="A1:B4" xr:uid="{CF32EC7D-69C5-4A93-8A2D-DC6765B2E759}"/>
  <tableColumns count="2">
    <tableColumn id="1" xr3:uid="{516DE414-3CB5-42C3-B197-5FD33F813523}" name="ID" dataDxfId="13"/>
    <tableColumn id="2" xr3:uid="{6D770425-64E8-434C-8D03-6414A09F53EC}" name="Security Requirement" dataDxfId="1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2AD37E-496A-4B82-BD5A-DDA158D6DA5D}" name="Table3" displayName="Table3" ref="A1:B7" totalsRowShown="0" headerRowDxfId="11" dataDxfId="10">
  <autoFilter ref="A1:B7" xr:uid="{402AD37E-496A-4B82-BD5A-DDA158D6DA5D}"/>
  <tableColumns count="2">
    <tableColumn id="1" xr3:uid="{77E4F913-7B38-4531-8FAA-D16B0FAAB464}" name="ID" dataDxfId="9"/>
    <tableColumn id="2" xr3:uid="{85281BD9-33CE-4F6C-84B3-1E17141FF66A}" name="User Requirement" dataDxfId="8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042BBB-0F12-4F67-90F0-C8062A2B8101}" name="Table4" displayName="Table4" ref="A1:B7" totalsRowShown="0" headerRowDxfId="7" dataDxfId="6">
  <autoFilter ref="A1:B7" xr:uid="{79042BBB-0F12-4F67-90F0-C8062A2B8101}"/>
  <tableColumns count="2">
    <tableColumn id="1" xr3:uid="{EC350D5A-6EAD-426C-A18A-35EC1B171BC1}" name="ID" dataDxfId="5"/>
    <tableColumn id="2" xr3:uid="{690F5785-7E7F-4D6A-8A10-FEEAAFDE3874}" name="Planet Requirement" dataDxfId="4"/>
  </tableColumns>
  <tableStyleInfo name="TableStyleMedium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73B250-B846-4BAF-AF3B-5117DBBA4973}" name="Table5" displayName="Table5" ref="A1:B8" totalsRowShown="0" headerRowDxfId="3" dataDxfId="2">
  <autoFilter ref="A1:B8" xr:uid="{CB73B250-B846-4BAF-AF3B-5117DBBA4973}"/>
  <tableColumns count="2">
    <tableColumn id="1" xr3:uid="{486EA324-F847-400D-80A5-266D5E36FC20}" name="ID" dataDxfId="1"/>
    <tableColumn id="2" xr3:uid="{96D5BDBF-2AB3-4652-A2F0-CF69353F8D08}" name="Moon Requiremen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13" Type="http://schemas.openxmlformats.org/officeDocument/2006/relationships/table" Target="../tables/table19.xml"/><Relationship Id="rId18" Type="http://schemas.openxmlformats.org/officeDocument/2006/relationships/table" Target="../tables/table2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12" Type="http://schemas.openxmlformats.org/officeDocument/2006/relationships/table" Target="../tables/table18.xml"/><Relationship Id="rId17" Type="http://schemas.openxmlformats.org/officeDocument/2006/relationships/table" Target="../tables/table23.xml"/><Relationship Id="rId2" Type="http://schemas.openxmlformats.org/officeDocument/2006/relationships/table" Target="../tables/table8.xml"/><Relationship Id="rId16" Type="http://schemas.openxmlformats.org/officeDocument/2006/relationships/table" Target="../tables/table22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5" Type="http://schemas.openxmlformats.org/officeDocument/2006/relationships/table" Target="../tables/table21.xml"/><Relationship Id="rId10" Type="http://schemas.openxmlformats.org/officeDocument/2006/relationships/table" Target="../tables/table16.xml"/><Relationship Id="rId19" Type="http://schemas.openxmlformats.org/officeDocument/2006/relationships/table" Target="../tables/table25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Relationship Id="rId14" Type="http://schemas.openxmlformats.org/officeDocument/2006/relationships/table" Target="../tables/table2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5DBC-B7FC-494C-9A91-44725C18C65A}">
  <dimension ref="A1:B6"/>
  <sheetViews>
    <sheetView workbookViewId="0">
      <selection activeCell="C5" sqref="C5"/>
    </sheetView>
  </sheetViews>
  <sheetFormatPr defaultRowHeight="15"/>
  <cols>
    <col min="1" max="1" width="27.5703125" customWidth="1"/>
    <col min="2" max="2" width="27.140625" customWidth="1"/>
    <col min="3" max="3" width="27.5703125" customWidth="1"/>
    <col min="4" max="4" width="27.7109375" customWidth="1"/>
  </cols>
  <sheetData>
    <row r="1" spans="1:2">
      <c r="A1" s="1" t="s">
        <v>0</v>
      </c>
      <c r="B1" s="1" t="s">
        <v>1</v>
      </c>
    </row>
    <row r="2" spans="1:2" ht="60">
      <c r="A2" s="1" t="s">
        <v>2</v>
      </c>
      <c r="B2" s="1" t="s">
        <v>3</v>
      </c>
    </row>
    <row r="3" spans="1:2" ht="60">
      <c r="A3" s="1" t="s">
        <v>4</v>
      </c>
      <c r="B3" s="1" t="s">
        <v>5</v>
      </c>
    </row>
    <row r="4" spans="1:2" ht="60">
      <c r="A4" s="1" t="s">
        <v>6</v>
      </c>
      <c r="B4" s="1" t="s">
        <v>7</v>
      </c>
    </row>
    <row r="5" spans="1:2" ht="60">
      <c r="A5" s="1" t="s">
        <v>8</v>
      </c>
      <c r="B5" s="1" t="s">
        <v>9</v>
      </c>
    </row>
    <row r="6" spans="1:2" ht="60">
      <c r="A6" s="1" t="s">
        <v>10</v>
      </c>
      <c r="B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6370-142D-415C-BF9E-0BDA972EDCF9}">
  <dimension ref="A1:H8"/>
  <sheetViews>
    <sheetView workbookViewId="0">
      <selection activeCell="A7" sqref="A7"/>
    </sheetView>
  </sheetViews>
  <sheetFormatPr defaultRowHeight="15"/>
  <cols>
    <col min="1" max="1" width="27.5703125" customWidth="1"/>
    <col min="2" max="2" width="27.7109375" customWidth="1"/>
    <col min="3" max="3" width="27.28515625" customWidth="1"/>
    <col min="4" max="4" width="27.7109375" customWidth="1"/>
    <col min="5" max="7" width="27.28515625" customWidth="1"/>
    <col min="8" max="8" width="27.42578125" customWidth="1"/>
  </cols>
  <sheetData>
    <row r="1" spans="1:8">
      <c r="A1" s="1" t="s">
        <v>0</v>
      </c>
      <c r="B1" s="1" t="s">
        <v>12</v>
      </c>
      <c r="C1" s="1" t="s">
        <v>0</v>
      </c>
      <c r="D1" s="1" t="s">
        <v>13</v>
      </c>
      <c r="E1" s="1" t="s">
        <v>0</v>
      </c>
      <c r="F1" s="1" t="s">
        <v>14</v>
      </c>
      <c r="G1" s="1" t="s">
        <v>0</v>
      </c>
      <c r="H1" s="1" t="s">
        <v>15</v>
      </c>
    </row>
    <row r="2" spans="1:8" ht="29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</row>
    <row r="3" spans="1:8" ht="72.7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</row>
    <row r="4" spans="1:8" ht="43.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</row>
    <row r="5" spans="1:8" ht="57.75"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</row>
    <row r="6" spans="1:8" ht="72.75"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</row>
    <row r="7" spans="1:8" ht="72.75"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</row>
    <row r="8" spans="1:8" ht="29.25">
      <c r="G8" s="1" t="s">
        <v>58</v>
      </c>
      <c r="H8" s="1" t="s">
        <v>55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FA12-0342-4856-9D1B-B622A006DBE5}">
  <dimension ref="A1:C23"/>
  <sheetViews>
    <sheetView workbookViewId="0">
      <selection activeCell="E21" sqref="E21"/>
    </sheetView>
  </sheetViews>
  <sheetFormatPr defaultRowHeight="15"/>
  <cols>
    <col min="1" max="1" width="18.42578125" customWidth="1"/>
    <col min="2" max="2" width="18.28515625" customWidth="1"/>
  </cols>
  <sheetData>
    <row r="1" spans="1:3">
      <c r="A1" s="1" t="s">
        <v>1</v>
      </c>
      <c r="B1" s="1" t="s">
        <v>59</v>
      </c>
      <c r="C1" s="1"/>
    </row>
    <row r="2" spans="1:3">
      <c r="A2" t="s">
        <v>2</v>
      </c>
      <c r="B2" t="s">
        <v>16</v>
      </c>
    </row>
    <row r="3" spans="1:3">
      <c r="A3" t="s">
        <v>2</v>
      </c>
      <c r="B3" t="s">
        <v>18</v>
      </c>
    </row>
    <row r="4" spans="1:3">
      <c r="A4" t="s">
        <v>2</v>
      </c>
      <c r="B4" t="s">
        <v>26</v>
      </c>
    </row>
    <row r="5" spans="1:3">
      <c r="A5" t="s">
        <v>2</v>
      </c>
      <c r="B5" t="s">
        <v>34</v>
      </c>
    </row>
    <row r="6" spans="1:3">
      <c r="A6" t="s">
        <v>2</v>
      </c>
      <c r="B6" t="s">
        <v>40</v>
      </c>
    </row>
    <row r="7" spans="1:3">
      <c r="A7" t="s">
        <v>2</v>
      </c>
      <c r="B7" t="s">
        <v>46</v>
      </c>
    </row>
    <row r="8" spans="1:3">
      <c r="A8" t="s">
        <v>2</v>
      </c>
      <c r="B8" t="s">
        <v>52</v>
      </c>
    </row>
    <row r="9" spans="1:3" hidden="1">
      <c r="A9" t="s">
        <v>4</v>
      </c>
      <c r="B9" t="s">
        <v>16</v>
      </c>
    </row>
    <row r="10" spans="1:3" hidden="1">
      <c r="A10" t="s">
        <v>4</v>
      </c>
      <c r="B10" t="s">
        <v>32</v>
      </c>
    </row>
    <row r="11" spans="1:3" hidden="1"/>
    <row r="12" spans="1:3">
      <c r="A12" t="s">
        <v>4</v>
      </c>
      <c r="B12" t="s">
        <v>24</v>
      </c>
    </row>
    <row r="13" spans="1:3">
      <c r="A13" t="s">
        <v>4</v>
      </c>
      <c r="B13" t="s">
        <v>32</v>
      </c>
    </row>
    <row r="14" spans="1:3">
      <c r="A14" t="s">
        <v>6</v>
      </c>
      <c r="B14" t="s">
        <v>42</v>
      </c>
    </row>
    <row r="15" spans="1:3">
      <c r="A15" t="s">
        <v>6</v>
      </c>
      <c r="B15" t="s">
        <v>48</v>
      </c>
    </row>
    <row r="16" spans="1:3">
      <c r="A16" t="s">
        <v>6</v>
      </c>
      <c r="B16" t="s">
        <v>54</v>
      </c>
    </row>
    <row r="17" spans="1:2">
      <c r="A17" t="s">
        <v>6</v>
      </c>
      <c r="B17" t="s">
        <v>24</v>
      </c>
    </row>
    <row r="18" spans="1:2">
      <c r="A18" t="s">
        <v>6</v>
      </c>
      <c r="B18" t="s">
        <v>32</v>
      </c>
    </row>
    <row r="19" spans="1:2">
      <c r="A19" t="s">
        <v>8</v>
      </c>
      <c r="B19" t="s">
        <v>38</v>
      </c>
    </row>
    <row r="20" spans="1:2">
      <c r="A20" t="s">
        <v>8</v>
      </c>
      <c r="B20" t="s">
        <v>44</v>
      </c>
    </row>
    <row r="21" spans="1:2">
      <c r="A21" t="s">
        <v>8</v>
      </c>
      <c r="B21" t="s">
        <v>50</v>
      </c>
    </row>
    <row r="22" spans="1:2">
      <c r="A22" t="s">
        <v>8</v>
      </c>
      <c r="B22" t="s">
        <v>56</v>
      </c>
    </row>
    <row r="23" spans="1:2">
      <c r="A23" t="s">
        <v>8</v>
      </c>
      <c r="B23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DB1E-F2A3-4630-A443-8E84A6677377}">
  <dimension ref="A1:Q33"/>
  <sheetViews>
    <sheetView workbookViewId="0">
      <selection activeCell="D20" sqref="D20"/>
    </sheetView>
  </sheetViews>
  <sheetFormatPr defaultRowHeight="15"/>
  <cols>
    <col min="1" max="1" width="28.42578125" customWidth="1"/>
    <col min="2" max="2" width="31.5703125" customWidth="1"/>
    <col min="3" max="3" width="27.5703125" customWidth="1"/>
    <col min="4" max="4" width="27.85546875" customWidth="1"/>
    <col min="5" max="5" width="31.42578125" customWidth="1"/>
    <col min="6" max="6" width="36.7109375" customWidth="1"/>
    <col min="7" max="7" width="36.42578125" customWidth="1"/>
    <col min="8" max="8" width="41.5703125" customWidth="1"/>
    <col min="9" max="9" width="36.5703125" customWidth="1"/>
    <col min="10" max="10" width="36.85546875" customWidth="1"/>
    <col min="11" max="11" width="36.5703125" customWidth="1"/>
    <col min="12" max="12" width="37.140625" customWidth="1"/>
    <col min="13" max="13" width="27.5703125" customWidth="1"/>
    <col min="14" max="14" width="36.140625" customWidth="1"/>
    <col min="15" max="15" width="36.7109375" customWidth="1"/>
    <col min="16" max="16" width="37.42578125" customWidth="1"/>
    <col min="17" max="17" width="39.5703125" customWidth="1"/>
  </cols>
  <sheetData>
    <row r="1" spans="1:17">
      <c r="A1" s="50" t="s">
        <v>2</v>
      </c>
      <c r="B1" s="51"/>
      <c r="C1" s="51"/>
      <c r="D1" s="61" t="s">
        <v>4</v>
      </c>
      <c r="E1" s="65"/>
      <c r="F1" s="65"/>
      <c r="G1" s="61" t="s">
        <v>6</v>
      </c>
      <c r="H1" s="58"/>
      <c r="I1" s="58"/>
      <c r="J1" s="58" t="s">
        <v>8</v>
      </c>
      <c r="K1" s="58"/>
      <c r="L1" s="58"/>
      <c r="M1" s="58"/>
      <c r="N1" s="45" t="s">
        <v>10</v>
      </c>
      <c r="O1" s="45"/>
      <c r="P1" s="45"/>
    </row>
    <row r="2" spans="1:17">
      <c r="A2" s="52" t="s">
        <v>60</v>
      </c>
      <c r="B2" s="53"/>
      <c r="C2" s="53"/>
      <c r="D2" s="66" t="s">
        <v>61</v>
      </c>
      <c r="E2" s="67"/>
      <c r="F2" s="68"/>
      <c r="G2" s="47" t="s">
        <v>61</v>
      </c>
      <c r="H2" s="47"/>
      <c r="I2" s="47"/>
      <c r="J2" s="47" t="s">
        <v>61</v>
      </c>
      <c r="K2" s="47"/>
      <c r="L2" s="47"/>
      <c r="M2" s="7"/>
      <c r="N2" s="46" t="s">
        <v>61</v>
      </c>
      <c r="O2" s="47"/>
      <c r="P2" s="47"/>
    </row>
    <row r="3" spans="1:17">
      <c r="A3" s="18" t="s">
        <v>0</v>
      </c>
      <c r="B3" s="18" t="s">
        <v>62</v>
      </c>
      <c r="C3" s="19"/>
      <c r="D3" s="5" t="s">
        <v>0</v>
      </c>
      <c r="E3" s="5" t="s">
        <v>62</v>
      </c>
      <c r="G3" s="5" t="s">
        <v>0</v>
      </c>
      <c r="H3" s="5" t="s">
        <v>63</v>
      </c>
      <c r="I3" s="5" t="s">
        <v>64</v>
      </c>
      <c r="J3" s="5" t="s">
        <v>0</v>
      </c>
      <c r="K3" s="5" t="s">
        <v>65</v>
      </c>
      <c r="L3" s="5" t="s">
        <v>66</v>
      </c>
      <c r="N3" s="15" t="s">
        <v>0</v>
      </c>
      <c r="O3" s="15" t="s">
        <v>65</v>
      </c>
      <c r="P3" s="15" t="s">
        <v>67</v>
      </c>
    </row>
    <row r="4" spans="1:17">
      <c r="A4" s="19" t="s">
        <v>68</v>
      </c>
      <c r="B4" s="19" t="s">
        <v>69</v>
      </c>
      <c r="C4" s="19"/>
      <c r="D4" t="s">
        <v>68</v>
      </c>
      <c r="E4" t="s">
        <v>70</v>
      </c>
      <c r="G4" t="s">
        <v>71</v>
      </c>
      <c r="H4" t="s">
        <v>70</v>
      </c>
      <c r="I4" t="s">
        <v>72</v>
      </c>
      <c r="J4" t="s">
        <v>73</v>
      </c>
      <c r="K4" t="s">
        <v>72</v>
      </c>
      <c r="L4" t="s">
        <v>70</v>
      </c>
      <c r="N4" t="s">
        <v>73</v>
      </c>
      <c r="O4" t="s">
        <v>72</v>
      </c>
      <c r="P4" t="s">
        <v>70</v>
      </c>
    </row>
    <row r="5" spans="1:17">
      <c r="A5" s="18" t="s">
        <v>0</v>
      </c>
      <c r="B5" s="18" t="s">
        <v>74</v>
      </c>
      <c r="C5" s="19"/>
      <c r="D5" s="5" t="s">
        <v>0</v>
      </c>
      <c r="E5" s="5" t="s">
        <v>74</v>
      </c>
      <c r="F5" s="16"/>
      <c r="G5" s="56" t="s">
        <v>75</v>
      </c>
      <c r="H5" s="57"/>
      <c r="I5" s="57"/>
      <c r="J5" s="5" t="s">
        <v>0</v>
      </c>
      <c r="K5" s="5" t="s">
        <v>76</v>
      </c>
      <c r="L5" s="5" t="s">
        <v>66</v>
      </c>
      <c r="N5" s="15" t="s">
        <v>0</v>
      </c>
      <c r="O5" s="15" t="s">
        <v>76</v>
      </c>
      <c r="P5" s="15" t="s">
        <v>67</v>
      </c>
    </row>
    <row r="6" spans="1:17">
      <c r="A6" s="19" t="s">
        <v>73</v>
      </c>
      <c r="B6" s="19" t="s">
        <v>77</v>
      </c>
      <c r="C6" s="19"/>
      <c r="D6" t="s">
        <v>73</v>
      </c>
      <c r="E6" t="s">
        <v>78</v>
      </c>
      <c r="F6" s="16"/>
      <c r="G6" s="5" t="s">
        <v>0</v>
      </c>
      <c r="H6" s="5" t="s">
        <v>63</v>
      </c>
      <c r="I6" s="5" t="s">
        <v>64</v>
      </c>
      <c r="J6" t="s">
        <v>79</v>
      </c>
      <c r="K6" t="s">
        <v>80</v>
      </c>
      <c r="L6" t="s">
        <v>72</v>
      </c>
      <c r="N6" t="s">
        <v>79</v>
      </c>
      <c r="O6" t="s">
        <v>80</v>
      </c>
      <c r="P6" t="s">
        <v>72</v>
      </c>
    </row>
    <row r="7" spans="1:17">
      <c r="A7" s="54" t="s">
        <v>75</v>
      </c>
      <c r="B7" s="55"/>
      <c r="C7" s="55"/>
      <c r="D7" s="56" t="s">
        <v>75</v>
      </c>
      <c r="E7" s="57"/>
      <c r="F7" s="69"/>
      <c r="G7" t="s">
        <v>81</v>
      </c>
      <c r="H7" t="s">
        <v>82</v>
      </c>
      <c r="I7" t="s">
        <v>83</v>
      </c>
      <c r="J7" s="56" t="s">
        <v>75</v>
      </c>
      <c r="K7" s="57"/>
      <c r="L7" s="57"/>
      <c r="N7" s="48" t="s">
        <v>75</v>
      </c>
      <c r="O7" s="49"/>
      <c r="P7" s="49"/>
    </row>
    <row r="8" spans="1:17">
      <c r="A8" s="18" t="s">
        <v>0</v>
      </c>
      <c r="B8" s="18" t="s">
        <v>84</v>
      </c>
      <c r="C8" s="18" t="s">
        <v>85</v>
      </c>
      <c r="D8" s="26" t="s">
        <v>86</v>
      </c>
      <c r="E8" s="26" t="s">
        <v>87</v>
      </c>
      <c r="F8" s="26" t="s">
        <v>88</v>
      </c>
      <c r="G8" t="s">
        <v>89</v>
      </c>
      <c r="H8" t="s">
        <v>90</v>
      </c>
      <c r="I8" t="s">
        <v>91</v>
      </c>
      <c r="J8" s="8" t="s">
        <v>0</v>
      </c>
      <c r="K8" s="8" t="s">
        <v>92</v>
      </c>
      <c r="L8" s="5" t="s">
        <v>66</v>
      </c>
      <c r="M8" s="8" t="s">
        <v>85</v>
      </c>
      <c r="N8" s="15" t="s">
        <v>0</v>
      </c>
      <c r="O8" s="15" t="s">
        <v>92</v>
      </c>
      <c r="P8" s="15" t="s">
        <v>67</v>
      </c>
      <c r="Q8" s="15" t="s">
        <v>93</v>
      </c>
    </row>
    <row r="9" spans="1:17" ht="29.25">
      <c r="A9" s="4" t="s">
        <v>94</v>
      </c>
      <c r="B9" s="4" t="s">
        <v>70</v>
      </c>
      <c r="C9" s="4" t="s">
        <v>18</v>
      </c>
      <c r="D9" s="25" t="s">
        <v>94</v>
      </c>
      <c r="E9" s="25" t="s">
        <v>95</v>
      </c>
      <c r="F9" s="25" t="s">
        <v>32</v>
      </c>
      <c r="G9" s="70" t="s">
        <v>96</v>
      </c>
      <c r="H9" s="70"/>
      <c r="I9" s="70"/>
      <c r="J9" s="4" t="s">
        <v>97</v>
      </c>
      <c r="K9" s="3" t="s">
        <v>98</v>
      </c>
      <c r="L9" s="4" t="s">
        <v>99</v>
      </c>
      <c r="M9" s="4" t="s">
        <v>100</v>
      </c>
      <c r="N9" s="4" t="s">
        <v>97</v>
      </c>
      <c r="O9" s="3" t="s">
        <v>98</v>
      </c>
      <c r="P9" s="4" t="s">
        <v>99</v>
      </c>
      <c r="Q9" s="4" t="s">
        <v>100</v>
      </c>
    </row>
    <row r="10" spans="1:17" ht="29.25">
      <c r="A10" s="4" t="s">
        <v>101</v>
      </c>
      <c r="B10" s="1" t="s">
        <v>102</v>
      </c>
      <c r="C10" s="4" t="s">
        <v>26</v>
      </c>
      <c r="D10" s="26" t="s">
        <v>86</v>
      </c>
      <c r="E10" s="26" t="s">
        <v>103</v>
      </c>
      <c r="F10" s="26" t="s">
        <v>88</v>
      </c>
      <c r="G10" s="31" t="s">
        <v>104</v>
      </c>
      <c r="H10" s="31" t="s">
        <v>105</v>
      </c>
      <c r="J10" s="4" t="s">
        <v>106</v>
      </c>
      <c r="K10" s="4" t="s">
        <v>107</v>
      </c>
      <c r="L10" s="4" t="s">
        <v>70</v>
      </c>
      <c r="M10" s="4" t="s">
        <v>28</v>
      </c>
      <c r="N10" s="4" t="s">
        <v>106</v>
      </c>
      <c r="O10" s="4" t="s">
        <v>107</v>
      </c>
      <c r="P10" s="4" t="s">
        <v>70</v>
      </c>
      <c r="Q10" s="4" t="s">
        <v>28</v>
      </c>
    </row>
    <row r="11" spans="1:17">
      <c r="A11" s="4" t="s">
        <v>108</v>
      </c>
      <c r="B11" s="4" t="s">
        <v>109</v>
      </c>
      <c r="C11" s="4" t="s">
        <v>34</v>
      </c>
      <c r="D11" s="25" t="s">
        <v>97</v>
      </c>
      <c r="E11" s="25" t="s">
        <v>110</v>
      </c>
      <c r="F11" s="25" t="s">
        <v>32</v>
      </c>
      <c r="G11" t="s">
        <v>71</v>
      </c>
      <c r="H11" t="s">
        <v>111</v>
      </c>
      <c r="J11" s="4" t="s">
        <v>112</v>
      </c>
      <c r="K11" s="3" t="s">
        <v>72</v>
      </c>
      <c r="L11" s="1" t="s">
        <v>70</v>
      </c>
      <c r="M11" s="4" t="s">
        <v>36</v>
      </c>
      <c r="N11" s="4" t="s">
        <v>112</v>
      </c>
      <c r="O11" s="3" t="s">
        <v>72</v>
      </c>
      <c r="P11" s="1" t="s">
        <v>70</v>
      </c>
      <c r="Q11" s="4" t="s">
        <v>36</v>
      </c>
    </row>
    <row r="12" spans="1:17">
      <c r="A12" s="4" t="s">
        <v>113</v>
      </c>
      <c r="B12" s="4" t="s">
        <v>114</v>
      </c>
      <c r="C12" s="4" t="s">
        <v>115</v>
      </c>
      <c r="D12" s="62" t="s">
        <v>96</v>
      </c>
      <c r="E12" s="62"/>
      <c r="F12" s="62"/>
      <c r="G12" t="s">
        <v>81</v>
      </c>
      <c r="H12" t="s">
        <v>116</v>
      </c>
      <c r="J12" s="10" t="s">
        <v>0</v>
      </c>
      <c r="K12" s="11" t="s">
        <v>117</v>
      </c>
      <c r="L12" s="11" t="s">
        <v>66</v>
      </c>
      <c r="M12" s="5" t="s">
        <v>85</v>
      </c>
      <c r="N12" s="28" t="s">
        <v>0</v>
      </c>
      <c r="O12" s="11" t="s">
        <v>117</v>
      </c>
      <c r="P12" s="11" t="s">
        <v>66</v>
      </c>
      <c r="Q12" s="5" t="s">
        <v>85</v>
      </c>
    </row>
    <row r="13" spans="1:17" ht="29.25">
      <c r="A13" s="18" t="s">
        <v>0</v>
      </c>
      <c r="B13" s="18" t="s">
        <v>118</v>
      </c>
      <c r="C13" s="18" t="s">
        <v>85</v>
      </c>
      <c r="D13" s="26" t="s">
        <v>119</v>
      </c>
      <c r="E13" s="26" t="s">
        <v>120</v>
      </c>
      <c r="F13" s="26" t="s">
        <v>121</v>
      </c>
      <c r="G13" t="s">
        <v>122</v>
      </c>
      <c r="H13" t="s">
        <v>116</v>
      </c>
      <c r="J13" s="9" t="s">
        <v>123</v>
      </c>
      <c r="K13" s="12" t="s">
        <v>98</v>
      </c>
      <c r="L13" s="4" t="s">
        <v>72</v>
      </c>
      <c r="M13" s="4" t="s">
        <v>22</v>
      </c>
      <c r="N13" s="4" t="s">
        <v>123</v>
      </c>
      <c r="O13" s="12" t="s">
        <v>98</v>
      </c>
      <c r="P13" s="4" t="s">
        <v>72</v>
      </c>
      <c r="Q13" s="4" t="s">
        <v>22</v>
      </c>
    </row>
    <row r="14" spans="1:17">
      <c r="A14" s="13" t="s">
        <v>97</v>
      </c>
      <c r="B14" s="13" t="s">
        <v>124</v>
      </c>
      <c r="C14" s="13" t="s">
        <v>125</v>
      </c>
      <c r="D14" s="25" t="s">
        <v>68</v>
      </c>
      <c r="E14" s="25" t="s">
        <v>73</v>
      </c>
      <c r="F14" s="25" t="s">
        <v>126</v>
      </c>
      <c r="G14" s="2"/>
      <c r="I14" s="16"/>
      <c r="J14" s="9" t="s">
        <v>127</v>
      </c>
      <c r="K14" t="s">
        <v>128</v>
      </c>
      <c r="L14" s="13" t="s">
        <v>83</v>
      </c>
      <c r="M14" s="13" t="s">
        <v>30</v>
      </c>
      <c r="N14" s="4" t="s">
        <v>129</v>
      </c>
      <c r="O14" t="s">
        <v>128</v>
      </c>
      <c r="P14" s="13" t="s">
        <v>83</v>
      </c>
      <c r="Q14" s="13" t="s">
        <v>30</v>
      </c>
    </row>
    <row r="15" spans="1:17">
      <c r="A15" s="13" t="s">
        <v>106</v>
      </c>
      <c r="B15" s="13" t="s">
        <v>130</v>
      </c>
      <c r="C15" s="13" t="s">
        <v>46</v>
      </c>
      <c r="D15" s="25" t="s">
        <v>68</v>
      </c>
      <c r="E15" s="25" t="s">
        <v>97</v>
      </c>
      <c r="F15" s="25" t="s">
        <v>131</v>
      </c>
      <c r="G15" s="2"/>
      <c r="J15" s="59" t="s">
        <v>96</v>
      </c>
      <c r="K15" s="60"/>
      <c r="L15" s="60"/>
      <c r="M15" s="60"/>
      <c r="N15" s="29" t="s">
        <v>127</v>
      </c>
      <c r="O15" s="14" t="s">
        <v>80</v>
      </c>
      <c r="P15" s="14" t="s">
        <v>72</v>
      </c>
      <c r="Q15" s="30" t="s">
        <v>38</v>
      </c>
    </row>
    <row r="16" spans="1:17">
      <c r="A16" s="13" t="s">
        <v>112</v>
      </c>
      <c r="B16" s="13" t="s">
        <v>132</v>
      </c>
      <c r="C16" s="13" t="s">
        <v>133</v>
      </c>
      <c r="D16" s="25" t="s">
        <v>94</v>
      </c>
      <c r="E16" s="25" t="s">
        <v>73</v>
      </c>
      <c r="F16" s="25" t="s">
        <v>131</v>
      </c>
      <c r="G16" s="2"/>
      <c r="J16" s="15" t="s">
        <v>0</v>
      </c>
      <c r="K16" s="15" t="s">
        <v>66</v>
      </c>
      <c r="L16" s="15" t="s">
        <v>121</v>
      </c>
      <c r="M16" s="15"/>
      <c r="N16" s="15" t="s">
        <v>0</v>
      </c>
      <c r="O16" s="15" t="s">
        <v>66</v>
      </c>
      <c r="P16" s="15" t="s">
        <v>121</v>
      </c>
      <c r="Q16" s="2"/>
    </row>
    <row r="17" spans="1:16">
      <c r="A17" s="13" t="s">
        <v>134</v>
      </c>
      <c r="B17" s="13" t="s">
        <v>135</v>
      </c>
      <c r="C17" s="13" t="s">
        <v>136</v>
      </c>
      <c r="D17" s="25" t="s">
        <v>94</v>
      </c>
      <c r="E17" s="25" t="s">
        <v>97</v>
      </c>
      <c r="F17" s="25" t="s">
        <v>131</v>
      </c>
      <c r="G17" s="2"/>
      <c r="J17" t="s">
        <v>73</v>
      </c>
      <c r="K17" t="s">
        <v>70</v>
      </c>
      <c r="L17" t="s">
        <v>137</v>
      </c>
      <c r="N17" t="s">
        <v>73</v>
      </c>
      <c r="O17" t="s">
        <v>70</v>
      </c>
      <c r="P17" t="s">
        <v>138</v>
      </c>
    </row>
    <row r="18" spans="1:16">
      <c r="A18" s="63" t="s">
        <v>96</v>
      </c>
      <c r="B18" s="64"/>
      <c r="C18" s="64"/>
      <c r="D18" s="26" t="s">
        <v>139</v>
      </c>
      <c r="E18" s="26" t="s">
        <v>140</v>
      </c>
      <c r="F18" s="25"/>
      <c r="G18" s="2"/>
      <c r="J18" t="s">
        <v>79</v>
      </c>
      <c r="K18" t="s">
        <v>72</v>
      </c>
      <c r="L18" t="s">
        <v>141</v>
      </c>
      <c r="N18" t="s">
        <v>79</v>
      </c>
      <c r="O18" t="s">
        <v>72</v>
      </c>
      <c r="P18" t="s">
        <v>142</v>
      </c>
    </row>
    <row r="19" spans="1:16">
      <c r="A19" s="21" t="s">
        <v>119</v>
      </c>
      <c r="B19" s="21" t="s">
        <v>120</v>
      </c>
      <c r="C19" s="21" t="s">
        <v>121</v>
      </c>
      <c r="D19" s="25" t="s">
        <v>143</v>
      </c>
      <c r="E19" s="25" t="s">
        <v>144</v>
      </c>
      <c r="F19" s="25"/>
      <c r="G19" s="2"/>
      <c r="J19" s="27" t="s">
        <v>97</v>
      </c>
      <c r="K19" t="s">
        <v>70</v>
      </c>
      <c r="L19" t="s">
        <v>145</v>
      </c>
      <c r="M19" s="17"/>
      <c r="N19" s="27" t="s">
        <v>97</v>
      </c>
      <c r="O19" t="s">
        <v>70</v>
      </c>
      <c r="P19" t="s">
        <v>145</v>
      </c>
    </row>
    <row r="20" spans="1:16" ht="29.25">
      <c r="A20" s="23" t="s">
        <v>68</v>
      </c>
      <c r="B20" s="23" t="s">
        <v>73</v>
      </c>
      <c r="C20" s="24" t="s">
        <v>146</v>
      </c>
      <c r="D20" s="25" t="s">
        <v>147</v>
      </c>
      <c r="E20" s="25" t="s">
        <v>148</v>
      </c>
      <c r="F20" s="25"/>
      <c r="G20" s="2"/>
      <c r="J20" t="s">
        <v>106</v>
      </c>
      <c r="K20" t="s">
        <v>70</v>
      </c>
      <c r="L20" t="s">
        <v>145</v>
      </c>
      <c r="N20" t="s">
        <v>106</v>
      </c>
      <c r="O20" t="s">
        <v>70</v>
      </c>
      <c r="P20" t="s">
        <v>145</v>
      </c>
    </row>
    <row r="21" spans="1:16">
      <c r="A21" s="4" t="s">
        <v>149</v>
      </c>
      <c r="B21" s="13" t="s">
        <v>97</v>
      </c>
      <c r="C21" s="20" t="s">
        <v>150</v>
      </c>
      <c r="G21" s="2"/>
      <c r="J21" t="s">
        <v>123</v>
      </c>
      <c r="K21" t="s">
        <v>72</v>
      </c>
      <c r="L21" t="s">
        <v>151</v>
      </c>
      <c r="M21" s="12"/>
      <c r="N21" t="s">
        <v>123</v>
      </c>
      <c r="O21" t="s">
        <v>72</v>
      </c>
      <c r="P21" t="s">
        <v>151</v>
      </c>
    </row>
    <row r="22" spans="1:16">
      <c r="A22" s="4" t="s">
        <v>152</v>
      </c>
      <c r="B22" s="13" t="s">
        <v>106</v>
      </c>
      <c r="C22" s="20" t="s">
        <v>150</v>
      </c>
      <c r="G22" s="2"/>
      <c r="J22" t="s">
        <v>127</v>
      </c>
      <c r="K22" t="s">
        <v>83</v>
      </c>
      <c r="L22" t="s">
        <v>151</v>
      </c>
      <c r="N22" t="s">
        <v>127</v>
      </c>
      <c r="O22" t="s">
        <v>83</v>
      </c>
      <c r="P22" t="s">
        <v>151</v>
      </c>
    </row>
    <row r="23" spans="1:16">
      <c r="A23" s="4" t="s">
        <v>153</v>
      </c>
      <c r="B23" s="13" t="s">
        <v>112</v>
      </c>
      <c r="C23" s="20" t="s">
        <v>150</v>
      </c>
      <c r="G23" s="2"/>
      <c r="J23" s="2"/>
    </row>
    <row r="24" spans="1:16">
      <c r="A24" s="4" t="s">
        <v>154</v>
      </c>
      <c r="B24" s="13" t="s">
        <v>134</v>
      </c>
      <c r="C24" s="20" t="s">
        <v>150</v>
      </c>
      <c r="G24" s="2"/>
      <c r="J24" s="2"/>
    </row>
    <row r="25" spans="1:16">
      <c r="A25" s="13" t="s">
        <v>94</v>
      </c>
      <c r="B25" s="13" t="s">
        <v>73</v>
      </c>
      <c r="C25" s="13" t="s">
        <v>155</v>
      </c>
      <c r="G25" s="2"/>
      <c r="J25" s="2"/>
    </row>
    <row r="26" spans="1:16">
      <c r="A26" s="13" t="s">
        <v>101</v>
      </c>
      <c r="B26" s="13" t="s">
        <v>73</v>
      </c>
      <c r="C26" s="13" t="s">
        <v>155</v>
      </c>
      <c r="G26" s="2"/>
      <c r="J26" s="2"/>
    </row>
    <row r="27" spans="1:16">
      <c r="A27" s="13" t="s">
        <v>108</v>
      </c>
      <c r="B27" s="13" t="s">
        <v>73</v>
      </c>
      <c r="C27" s="13" t="s">
        <v>155</v>
      </c>
      <c r="G27" s="2"/>
      <c r="J27" s="2"/>
    </row>
    <row r="28" spans="1:16">
      <c r="A28" s="13" t="s">
        <v>113</v>
      </c>
      <c r="B28" s="13" t="s">
        <v>73</v>
      </c>
      <c r="C28" s="20" t="s">
        <v>155</v>
      </c>
      <c r="D28" s="22"/>
      <c r="E28" s="22"/>
      <c r="F28" s="22"/>
      <c r="G28" s="2"/>
      <c r="J28" s="2"/>
    </row>
    <row r="29" spans="1:16">
      <c r="D29" s="2"/>
      <c r="G29" s="6"/>
      <c r="H29" s="6"/>
      <c r="I29" s="6"/>
    </row>
    <row r="30" spans="1:16">
      <c r="D30" s="2"/>
    </row>
    <row r="31" spans="1:16">
      <c r="D31" s="2"/>
    </row>
    <row r="32" spans="1:16">
      <c r="D32" s="2"/>
    </row>
    <row r="33" spans="4:4">
      <c r="D33" s="2"/>
    </row>
  </sheetData>
  <mergeCells count="19">
    <mergeCell ref="J15:M15"/>
    <mergeCell ref="G1:I1"/>
    <mergeCell ref="G2:I2"/>
    <mergeCell ref="D12:F12"/>
    <mergeCell ref="A18:C18"/>
    <mergeCell ref="D1:F1"/>
    <mergeCell ref="D2:F2"/>
    <mergeCell ref="D7:F7"/>
    <mergeCell ref="G9:I9"/>
    <mergeCell ref="N1:P1"/>
    <mergeCell ref="N2:P2"/>
    <mergeCell ref="N7:P7"/>
    <mergeCell ref="A1:C1"/>
    <mergeCell ref="A2:C2"/>
    <mergeCell ref="A7:C7"/>
    <mergeCell ref="J2:L2"/>
    <mergeCell ref="J7:L7"/>
    <mergeCell ref="J1:M1"/>
    <mergeCell ref="G5:I5"/>
  </mergeCells>
  <pageMargins left="0.7" right="0.7" top="0.75" bottom="0.75" header="0.3" footer="0.3"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26BC-F067-41E8-847E-757ABB716A4D}">
  <dimension ref="A1:B5"/>
  <sheetViews>
    <sheetView workbookViewId="0">
      <selection activeCell="A4" sqref="A1:B4"/>
    </sheetView>
  </sheetViews>
  <sheetFormatPr defaultRowHeight="15"/>
  <cols>
    <col min="1" max="1" width="27.5703125" customWidth="1"/>
    <col min="2" max="2" width="27.7109375" customWidth="1"/>
    <col min="3" max="3" width="9.140625" customWidth="1"/>
  </cols>
  <sheetData>
    <row r="1" spans="1:2">
      <c r="A1" s="1" t="s">
        <v>0</v>
      </c>
      <c r="B1" s="1" t="s">
        <v>12</v>
      </c>
    </row>
    <row r="2" spans="1:2" ht="30">
      <c r="A2" s="1" t="s">
        <v>16</v>
      </c>
      <c r="B2" s="1" t="s">
        <v>17</v>
      </c>
    </row>
    <row r="3" spans="1:2" ht="60">
      <c r="A3" s="1" t="s">
        <v>24</v>
      </c>
      <c r="B3" s="1" t="s">
        <v>25</v>
      </c>
    </row>
    <row r="4" spans="1:2" ht="45">
      <c r="A4" s="1" t="s">
        <v>32</v>
      </c>
      <c r="B4" s="1" t="s">
        <v>33</v>
      </c>
    </row>
    <row r="5" spans="1:2">
      <c r="A5" s="1"/>
      <c r="B5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9574-495B-48A9-AFC0-B3B153891B25}">
  <dimension ref="A1:Q16"/>
  <sheetViews>
    <sheetView tabSelected="1" workbookViewId="0">
      <selection activeCell="J6" sqref="J6:J9"/>
    </sheetView>
  </sheetViews>
  <sheetFormatPr defaultRowHeight="15"/>
  <cols>
    <col min="1" max="1" width="11.5703125" style="13" customWidth="1"/>
    <col min="2" max="2" width="22.140625" style="13" customWidth="1"/>
    <col min="3" max="3" width="36.7109375" style="13" customWidth="1"/>
    <col min="4" max="4" width="12.140625" style="13" customWidth="1"/>
    <col min="5" max="6" width="9.140625" style="13"/>
    <col min="7" max="7" width="37.140625" style="13" customWidth="1"/>
    <col min="8" max="8" width="12.7109375" style="13" customWidth="1"/>
    <col min="9" max="9" width="18.28515625" style="13" customWidth="1"/>
    <col min="10" max="10" width="36.28515625" style="13" customWidth="1"/>
    <col min="11" max="11" width="12.28515625" style="13" customWidth="1"/>
    <col min="12" max="12" width="19.28515625" style="13" customWidth="1"/>
    <col min="13" max="13" width="37" style="13" customWidth="1"/>
    <col min="14" max="14" width="11.28515625" style="13" customWidth="1"/>
    <col min="15" max="15" width="18.42578125" style="13" customWidth="1"/>
    <col min="16" max="16" width="38" style="13" customWidth="1"/>
    <col min="17" max="16384" width="9.140625" style="13"/>
  </cols>
  <sheetData>
    <row r="1" spans="1:17">
      <c r="A1" s="1" t="s">
        <v>1</v>
      </c>
      <c r="B1" s="1" t="s">
        <v>156</v>
      </c>
      <c r="C1" s="1" t="s">
        <v>157</v>
      </c>
      <c r="D1" s="13" t="s">
        <v>1</v>
      </c>
      <c r="E1" s="71" t="s">
        <v>156</v>
      </c>
      <c r="F1" s="71"/>
      <c r="G1" s="33" t="s">
        <v>157</v>
      </c>
      <c r="H1" s="13" t="s">
        <v>1</v>
      </c>
      <c r="I1" s="13" t="s">
        <v>156</v>
      </c>
      <c r="J1" s="13" t="s">
        <v>157</v>
      </c>
      <c r="K1" s="13" t="s">
        <v>1</v>
      </c>
      <c r="L1" s="13" t="s">
        <v>156</v>
      </c>
      <c r="M1" s="13" t="s">
        <v>157</v>
      </c>
      <c r="N1" s="13" t="s">
        <v>1</v>
      </c>
      <c r="O1" s="13" t="s">
        <v>156</v>
      </c>
      <c r="P1" s="13" t="s">
        <v>157</v>
      </c>
    </row>
    <row r="2" spans="1:17">
      <c r="A2" s="76" t="s">
        <v>2</v>
      </c>
      <c r="B2" s="77" t="s">
        <v>158</v>
      </c>
      <c r="C2" s="32" t="s">
        <v>159</v>
      </c>
      <c r="D2" s="75" t="s">
        <v>4</v>
      </c>
      <c r="E2" s="72" t="s">
        <v>158</v>
      </c>
      <c r="F2" s="72"/>
      <c r="G2" s="35" t="s">
        <v>160</v>
      </c>
      <c r="H2" s="75" t="s">
        <v>6</v>
      </c>
      <c r="I2" s="72" t="s">
        <v>158</v>
      </c>
      <c r="J2" s="39" t="s">
        <v>161</v>
      </c>
      <c r="K2" s="75" t="s">
        <v>8</v>
      </c>
      <c r="L2" s="72" t="s">
        <v>158</v>
      </c>
      <c r="M2" s="39" t="e" cm="1" vm="1">
        <f t="array" aca="1" ref="M2" ca="1">+J2:J5</f>
        <v>#VALUE!</v>
      </c>
      <c r="N2" s="13" t="s">
        <v>10</v>
      </c>
      <c r="O2" s="72" t="s">
        <v>158</v>
      </c>
      <c r="P2" s="39" t="s">
        <v>162</v>
      </c>
    </row>
    <row r="3" spans="1:17" ht="29.25">
      <c r="A3" s="76"/>
      <c r="B3" s="77"/>
      <c r="C3" s="32" t="s">
        <v>163</v>
      </c>
      <c r="D3" s="75"/>
      <c r="E3" s="72"/>
      <c r="F3" s="72"/>
      <c r="G3" s="39" t="s">
        <v>164</v>
      </c>
      <c r="H3" s="75"/>
      <c r="I3" s="72"/>
      <c r="J3" s="41" t="s">
        <v>165</v>
      </c>
      <c r="K3" s="75"/>
      <c r="L3" s="72"/>
      <c r="M3" s="35" t="s">
        <v>166</v>
      </c>
      <c r="O3" s="72"/>
      <c r="P3" s="39" t="s">
        <v>167</v>
      </c>
    </row>
    <row r="4" spans="1:17" ht="29.25">
      <c r="A4" s="76"/>
      <c r="B4" s="77"/>
      <c r="C4" s="32" t="s">
        <v>168</v>
      </c>
      <c r="D4" s="75"/>
      <c r="E4" s="72"/>
      <c r="F4" s="72"/>
      <c r="G4" s="39" t="s">
        <v>169</v>
      </c>
      <c r="H4" s="75"/>
      <c r="I4" s="72"/>
      <c r="J4" s="36" t="s">
        <v>170</v>
      </c>
      <c r="K4" s="75"/>
      <c r="L4" s="72"/>
      <c r="M4" s="40" t="s">
        <v>171</v>
      </c>
      <c r="O4" s="72"/>
      <c r="P4" s="35" t="s">
        <v>172</v>
      </c>
    </row>
    <row r="5" spans="1:17" ht="29.25">
      <c r="A5" s="76"/>
      <c r="B5" s="77"/>
      <c r="C5" s="32" t="s">
        <v>173</v>
      </c>
      <c r="D5" s="75"/>
      <c r="E5" s="72"/>
      <c r="F5" s="72"/>
      <c r="G5" s="39" t="s">
        <v>174</v>
      </c>
      <c r="H5" s="75"/>
      <c r="I5" s="72"/>
      <c r="J5" s="42" t="s">
        <v>175</v>
      </c>
      <c r="K5" s="75"/>
      <c r="L5" s="72"/>
      <c r="M5" s="39" t="s">
        <v>176</v>
      </c>
      <c r="O5" s="72"/>
      <c r="P5" s="41" t="s">
        <v>177</v>
      </c>
    </row>
    <row r="6" spans="1:17">
      <c r="A6" s="76"/>
      <c r="B6" s="77"/>
      <c r="C6" s="32" t="s">
        <v>178</v>
      </c>
      <c r="D6" s="75"/>
      <c r="E6" s="72"/>
      <c r="F6" s="72"/>
      <c r="G6" s="40" t="s">
        <v>179</v>
      </c>
      <c r="H6" s="75"/>
      <c r="I6" s="55" t="s">
        <v>180</v>
      </c>
      <c r="J6" s="39" t="s">
        <v>181</v>
      </c>
      <c r="K6" s="75"/>
      <c r="L6" s="72"/>
      <c r="M6" s="35" t="s">
        <v>182</v>
      </c>
      <c r="O6" s="72"/>
      <c r="P6" s="40" t="s">
        <v>183</v>
      </c>
      <c r="Q6" s="39"/>
    </row>
    <row r="7" spans="1:17" ht="29.25">
      <c r="A7" s="76"/>
      <c r="B7" s="77"/>
      <c r="C7" s="32" t="s">
        <v>184</v>
      </c>
      <c r="D7" s="75"/>
      <c r="E7" s="73" t="s">
        <v>180</v>
      </c>
      <c r="F7" s="74"/>
      <c r="G7" s="38" t="s">
        <v>160</v>
      </c>
      <c r="H7" s="75"/>
      <c r="I7" s="55"/>
      <c r="J7" s="36" t="s">
        <v>185</v>
      </c>
      <c r="K7" s="75"/>
      <c r="L7" s="72"/>
      <c r="M7" s="35" t="s">
        <v>186</v>
      </c>
      <c r="O7" s="72"/>
      <c r="P7" s="39" t="s">
        <v>187</v>
      </c>
    </row>
    <row r="8" spans="1:17" ht="29.25">
      <c r="A8" s="76"/>
      <c r="B8" s="77"/>
      <c r="C8" s="34" t="s">
        <v>188</v>
      </c>
      <c r="D8" s="75"/>
      <c r="E8" s="74"/>
      <c r="F8" s="74"/>
      <c r="G8" s="37" t="s">
        <v>189</v>
      </c>
      <c r="H8" s="75"/>
      <c r="I8" s="55"/>
      <c r="J8" s="41" t="s">
        <v>190</v>
      </c>
      <c r="K8" s="75"/>
      <c r="L8" s="72"/>
      <c r="M8" s="40" t="s">
        <v>171</v>
      </c>
      <c r="O8" s="72"/>
      <c r="P8" s="39" t="s">
        <v>191</v>
      </c>
    </row>
    <row r="9" spans="1:17" ht="29.25">
      <c r="A9" s="76"/>
      <c r="B9" s="78" t="s">
        <v>180</v>
      </c>
      <c r="C9" s="32" t="s">
        <v>159</v>
      </c>
      <c r="D9" s="75"/>
      <c r="E9" s="74"/>
      <c r="F9" s="74"/>
      <c r="G9" s="41" t="s">
        <v>192</v>
      </c>
      <c r="H9" s="75"/>
      <c r="I9" s="55"/>
      <c r="J9" s="43" t="s">
        <v>193</v>
      </c>
      <c r="K9" s="75"/>
      <c r="L9" s="55" t="s">
        <v>180</v>
      </c>
      <c r="M9" s="39" t="s">
        <v>194</v>
      </c>
      <c r="O9" s="72"/>
      <c r="P9" s="35" t="s">
        <v>195</v>
      </c>
    </row>
    <row r="10" spans="1:17" ht="29.25">
      <c r="A10" s="76"/>
      <c r="B10" s="78"/>
      <c r="C10" s="32" t="s">
        <v>163</v>
      </c>
      <c r="D10" s="75"/>
      <c r="E10" s="74"/>
      <c r="F10" s="74"/>
      <c r="G10" s="36" t="s">
        <v>196</v>
      </c>
      <c r="K10" s="75"/>
      <c r="L10" s="55"/>
      <c r="M10" s="36" t="s">
        <v>197</v>
      </c>
      <c r="O10" s="72"/>
      <c r="P10" s="40" t="s">
        <v>183</v>
      </c>
    </row>
    <row r="11" spans="1:17" ht="29.25">
      <c r="A11" s="76"/>
      <c r="B11" s="78"/>
      <c r="C11" s="32" t="s">
        <v>198</v>
      </c>
      <c r="D11" s="75"/>
      <c r="K11" s="75"/>
      <c r="L11" s="55"/>
      <c r="M11" s="44" t="s">
        <v>199</v>
      </c>
      <c r="O11" s="55" t="s">
        <v>180</v>
      </c>
      <c r="P11" s="39" t="s">
        <v>162</v>
      </c>
    </row>
    <row r="12" spans="1:17" ht="29.25">
      <c r="A12" s="76"/>
      <c r="B12" s="78"/>
      <c r="C12" s="32" t="s">
        <v>200</v>
      </c>
      <c r="D12" s="75"/>
      <c r="K12" s="75"/>
      <c r="L12" s="55"/>
      <c r="M12" s="35" t="s">
        <v>201</v>
      </c>
      <c r="O12" s="55"/>
      <c r="P12" s="41" t="s">
        <v>202</v>
      </c>
    </row>
    <row r="13" spans="1:17" ht="29.25">
      <c r="A13" s="76"/>
      <c r="B13" s="78"/>
      <c r="C13" s="32" t="s">
        <v>178</v>
      </c>
      <c r="D13" s="75"/>
      <c r="K13" s="75"/>
      <c r="L13" s="55"/>
      <c r="M13" s="36" t="s">
        <v>203</v>
      </c>
      <c r="O13" s="55"/>
      <c r="P13" s="40" t="s">
        <v>204</v>
      </c>
    </row>
    <row r="14" spans="1:17" ht="29.25">
      <c r="A14" s="76"/>
      <c r="B14" s="78"/>
      <c r="C14" s="32" t="s">
        <v>205</v>
      </c>
      <c r="D14" s="75"/>
      <c r="K14" s="75"/>
      <c r="L14" s="55"/>
      <c r="M14" s="36" t="s">
        <v>206</v>
      </c>
      <c r="O14" s="55"/>
      <c r="P14" s="35" t="s">
        <v>187</v>
      </c>
    </row>
    <row r="15" spans="1:17" ht="29.25">
      <c r="A15" s="76"/>
      <c r="B15" s="78"/>
      <c r="C15" s="32" t="s">
        <v>207</v>
      </c>
      <c r="D15" s="75"/>
      <c r="O15" s="55"/>
      <c r="P15" s="36" t="s">
        <v>208</v>
      </c>
    </row>
    <row r="16" spans="1:17">
      <c r="O16" s="55"/>
      <c r="P16" s="39" t="s">
        <v>209</v>
      </c>
    </row>
  </sheetData>
  <mergeCells count="15">
    <mergeCell ref="A2:A15"/>
    <mergeCell ref="B2:B8"/>
    <mergeCell ref="B9:B15"/>
    <mergeCell ref="D2:D15"/>
    <mergeCell ref="O2:O10"/>
    <mergeCell ref="K2:K14"/>
    <mergeCell ref="O11:O16"/>
    <mergeCell ref="I2:I5"/>
    <mergeCell ref="I6:I9"/>
    <mergeCell ref="E1:F1"/>
    <mergeCell ref="E2:F6"/>
    <mergeCell ref="E7:F10"/>
    <mergeCell ref="H2:H9"/>
    <mergeCell ref="L2:L8"/>
    <mergeCell ref="L9:L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955B-CBB4-4821-99BF-DB0B1EC1B1EA}">
  <dimension ref="A1:B8"/>
  <sheetViews>
    <sheetView workbookViewId="0">
      <selection activeCell="B8" sqref="B8"/>
    </sheetView>
  </sheetViews>
  <sheetFormatPr defaultRowHeight="15"/>
  <cols>
    <col min="1" max="1" width="27.28515625" customWidth="1"/>
    <col min="2" max="2" width="27.7109375" customWidth="1"/>
  </cols>
  <sheetData>
    <row r="1" spans="1:2">
      <c r="A1" s="1" t="s">
        <v>0</v>
      </c>
      <c r="B1" s="1" t="s">
        <v>13</v>
      </c>
    </row>
    <row r="2" spans="1:2" ht="30">
      <c r="A2" s="1" t="s">
        <v>18</v>
      </c>
      <c r="B2" s="1" t="s">
        <v>19</v>
      </c>
    </row>
    <row r="3" spans="1:2" ht="45">
      <c r="A3" s="1" t="s">
        <v>26</v>
      </c>
      <c r="B3" s="1" t="s">
        <v>27</v>
      </c>
    </row>
    <row r="4" spans="1:2" ht="30">
      <c r="A4" s="1" t="s">
        <v>34</v>
      </c>
      <c r="B4" s="1" t="s">
        <v>35</v>
      </c>
    </row>
    <row r="5" spans="1:2" ht="60">
      <c r="A5" s="1" t="s">
        <v>40</v>
      </c>
      <c r="B5" s="1" t="s">
        <v>41</v>
      </c>
    </row>
    <row r="6" spans="1:2" ht="45">
      <c r="A6" s="1" t="s">
        <v>46</v>
      </c>
      <c r="B6" s="1" t="s">
        <v>47</v>
      </c>
    </row>
    <row r="7" spans="1:2" ht="30">
      <c r="A7" s="1" t="s">
        <v>52</v>
      </c>
      <c r="B7" s="1" t="s">
        <v>53</v>
      </c>
    </row>
    <row r="8" spans="1:2">
      <c r="A8" s="1"/>
      <c r="B8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BBD4-BA32-4762-983D-1911FDD83C85}">
  <dimension ref="A1:B9"/>
  <sheetViews>
    <sheetView workbookViewId="0">
      <selection activeCell="A7" sqref="A1:B7"/>
    </sheetView>
  </sheetViews>
  <sheetFormatPr defaultRowHeight="15"/>
  <cols>
    <col min="1" max="2" width="27.28515625" customWidth="1"/>
  </cols>
  <sheetData>
    <row r="1" spans="1:2">
      <c r="A1" s="1" t="s">
        <v>0</v>
      </c>
      <c r="B1" s="1" t="s">
        <v>14</v>
      </c>
    </row>
    <row r="2" spans="1:2" ht="30">
      <c r="A2" s="1" t="s">
        <v>20</v>
      </c>
      <c r="B2" s="1" t="s">
        <v>21</v>
      </c>
    </row>
    <row r="3" spans="1:2" ht="75">
      <c r="A3" s="1" t="s">
        <v>28</v>
      </c>
      <c r="B3" s="1" t="s">
        <v>29</v>
      </c>
    </row>
    <row r="4" spans="1:2" ht="30">
      <c r="A4" s="1" t="s">
        <v>36</v>
      </c>
      <c r="B4" s="1" t="s">
        <v>37</v>
      </c>
    </row>
    <row r="5" spans="1:2" ht="45">
      <c r="A5" s="1" t="s">
        <v>42</v>
      </c>
      <c r="B5" s="1" t="s">
        <v>43</v>
      </c>
    </row>
    <row r="6" spans="1:2" ht="75">
      <c r="A6" s="1" t="s">
        <v>48</v>
      </c>
      <c r="B6" s="1" t="s">
        <v>49</v>
      </c>
    </row>
    <row r="7" spans="1:2" ht="30">
      <c r="A7" s="1" t="s">
        <v>54</v>
      </c>
      <c r="B7" s="1" t="s">
        <v>55</v>
      </c>
    </row>
    <row r="8" spans="1:2">
      <c r="A8" s="1"/>
      <c r="B8" s="1"/>
    </row>
    <row r="9" spans="1:2">
      <c r="A9" s="1"/>
      <c r="B9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E8F8-EFC1-44EB-82E1-9A97A755E2C6}">
  <dimension ref="A1:B9"/>
  <sheetViews>
    <sheetView workbookViewId="0">
      <selection activeCell="H9" sqref="H9"/>
    </sheetView>
  </sheetViews>
  <sheetFormatPr defaultRowHeight="15"/>
  <cols>
    <col min="1" max="1" width="27.28515625" customWidth="1"/>
    <col min="2" max="2" width="27.42578125" customWidth="1"/>
  </cols>
  <sheetData>
    <row r="1" spans="1:2">
      <c r="A1" s="1" t="s">
        <v>0</v>
      </c>
      <c r="B1" s="1" t="s">
        <v>15</v>
      </c>
    </row>
    <row r="2" spans="1:2" ht="30">
      <c r="A2" s="1" t="s">
        <v>22</v>
      </c>
      <c r="B2" s="1" t="s">
        <v>23</v>
      </c>
    </row>
    <row r="3" spans="1:2" ht="75">
      <c r="A3" s="1" t="s">
        <v>30</v>
      </c>
      <c r="B3" s="1" t="s">
        <v>31</v>
      </c>
    </row>
    <row r="4" spans="1:2" ht="30">
      <c r="A4" s="1" t="s">
        <v>38</v>
      </c>
      <c r="B4" s="1" t="s">
        <v>39</v>
      </c>
    </row>
    <row r="5" spans="1:2" ht="45">
      <c r="A5" s="1" t="s">
        <v>44</v>
      </c>
      <c r="B5" s="1" t="s">
        <v>45</v>
      </c>
    </row>
    <row r="6" spans="1:2" ht="45">
      <c r="A6" s="1" t="s">
        <v>50</v>
      </c>
      <c r="B6" s="1" t="s">
        <v>51</v>
      </c>
    </row>
    <row r="7" spans="1:2" ht="75">
      <c r="A7" s="1" t="s">
        <v>56</v>
      </c>
      <c r="B7" s="1" t="s">
        <v>57</v>
      </c>
    </row>
    <row r="8" spans="1:2" ht="30">
      <c r="A8" s="1" t="s">
        <v>58</v>
      </c>
      <c r="B8" s="1" t="s">
        <v>55</v>
      </c>
    </row>
    <row r="9" spans="1:2">
      <c r="A9" s="1"/>
      <c r="B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Suminski</dc:creator>
  <cp:keywords/>
  <dc:description/>
  <cp:lastModifiedBy>Thaddeus Henderson</cp:lastModifiedBy>
  <cp:revision/>
  <dcterms:created xsi:type="dcterms:W3CDTF">2024-12-10T19:20:52Z</dcterms:created>
  <dcterms:modified xsi:type="dcterms:W3CDTF">2024-12-19T16:40:47Z</dcterms:modified>
  <cp:category/>
  <cp:contentStatus/>
</cp:coreProperties>
</file>